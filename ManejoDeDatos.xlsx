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Datadata\"/>
    </mc:Choice>
  </mc:AlternateContent>
  <xr:revisionPtr revIDLastSave="0" documentId="13_ncr:1_{8E2F9366-D6B7-4D31-B7B8-E0B688EED195}" xr6:coauthVersionLast="47" xr6:coauthVersionMax="47" xr10:uidLastSave="{00000000-0000-0000-0000-000000000000}"/>
  <bookViews>
    <workbookView xWindow="28680" yWindow="-120" windowWidth="29040" windowHeight="15720" activeTab="2" xr2:uid="{E331A55D-0705-4025-87FA-F596EF89441D}"/>
  </bookViews>
  <sheets>
    <sheet name="Empleados" sheetId="1" r:id="rId1"/>
    <sheet name="Usuarios" sheetId="2" r:id="rId2"/>
    <sheet name="Departamentos" sheetId="3" r:id="rId3"/>
    <sheet name="Asistencias" sheetId="4" r:id="rId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3" i="1" l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2" i="1"/>
  <c r="G3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2" i="1"/>
  <c r="G2" i="4"/>
  <c r="H3" i="4" l="1"/>
  <c r="H2" i="4"/>
</calcChain>
</file>

<file path=xl/sharedStrings.xml><?xml version="1.0" encoding="utf-8"?>
<sst xmlns="http://schemas.openxmlformats.org/spreadsheetml/2006/main" count="319" uniqueCount="183">
  <si>
    <t>ID_Empleado</t>
  </si>
  <si>
    <t>Nombre_Empleado</t>
  </si>
  <si>
    <t>Cédula_Empleado</t>
  </si>
  <si>
    <t>Dirección_Empleado</t>
  </si>
  <si>
    <t>Teléfono_Empleado</t>
  </si>
  <si>
    <t>ID_Departamento</t>
  </si>
  <si>
    <t>Hora_EntradaEmpleado</t>
  </si>
  <si>
    <t>Antigüedad</t>
  </si>
  <si>
    <t>Pago_Hora</t>
  </si>
  <si>
    <t>Correo_Empleado</t>
  </si>
  <si>
    <t>Cargo_Empleado</t>
  </si>
  <si>
    <t>Activo</t>
  </si>
  <si>
    <t>Empleado1</t>
  </si>
  <si>
    <t>Empleado2</t>
  </si>
  <si>
    <t>Empleado3</t>
  </si>
  <si>
    <t>Empleado4</t>
  </si>
  <si>
    <t>Empleado5</t>
  </si>
  <si>
    <t>Empleado6</t>
  </si>
  <si>
    <t>Empleado7</t>
  </si>
  <si>
    <t>000-111111-1010B</t>
  </si>
  <si>
    <t>Dirreción PlaceHolder1</t>
  </si>
  <si>
    <t>Dirreción PlaceHolder2</t>
  </si>
  <si>
    <t>Dirreción PlaceHolder3</t>
  </si>
  <si>
    <t>Dirreción PlaceHolder4</t>
  </si>
  <si>
    <t>Dirreción PlaceHolder5</t>
  </si>
  <si>
    <t>Dirreción PlaceHolder6</t>
  </si>
  <si>
    <t>Dirreción PlaceHolder7</t>
  </si>
  <si>
    <t>Dirreción PlaceHolder8</t>
  </si>
  <si>
    <t>Dirreción PlaceHolder9</t>
  </si>
  <si>
    <t>Dirreción PlaceHolder10</t>
  </si>
  <si>
    <t>Dirreción PlaceHolder11</t>
  </si>
  <si>
    <t>Dirreción PlaceHolder12</t>
  </si>
  <si>
    <t>Dirreción PlaceHolder13</t>
  </si>
  <si>
    <t>Dirreción PlaceHolder14</t>
  </si>
  <si>
    <t>Dirreción PlaceHolder15</t>
  </si>
  <si>
    <t>Dirreción PlaceHolder16</t>
  </si>
  <si>
    <t>Dirreción PlaceHolder17</t>
  </si>
  <si>
    <t>Dirreción PlaceHolder18</t>
  </si>
  <si>
    <t>Dirreción PlaceHolder19</t>
  </si>
  <si>
    <t>Dirreción PlaceHolder20</t>
  </si>
  <si>
    <t>Nombre Departamento</t>
  </si>
  <si>
    <t>Test</t>
  </si>
  <si>
    <t>Limpieza</t>
  </si>
  <si>
    <t>Recursos humanos</t>
  </si>
  <si>
    <t>Profesores</t>
  </si>
  <si>
    <t>ID_Usuario</t>
  </si>
  <si>
    <t>Nombre Usuario</t>
  </si>
  <si>
    <t>Password</t>
  </si>
  <si>
    <t>EsAdmin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</si>
  <si>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</si>
  <si>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</si>
  <si>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</si>
  <si>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</si>
  <si>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</si>
  <si>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</si>
  <si>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</si>
  <si>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</si>
  <si>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</si>
  <si>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</si>
  <si>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</si>
  <si>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</si>
  <si>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</si>
  <si>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</si>
  <si>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</si>
  <si>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</si>
  <si>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</si>
  <si>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</si>
  <si>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</si>
  <si>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</si>
  <si>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PassWord1</t>
  </si>
  <si>
    <t>PassWord2</t>
  </si>
  <si>
    <t>PassWord3</t>
  </si>
  <si>
    <t>PassWord4</t>
  </si>
  <si>
    <t>PassWord5</t>
  </si>
  <si>
    <t>PassWord6</t>
  </si>
  <si>
    <t>PassWord7</t>
  </si>
  <si>
    <t>PassWord8</t>
  </si>
  <si>
    <t>PassWord9</t>
  </si>
  <si>
    <t>PassWord10</t>
  </si>
  <si>
    <t>PassWord11</t>
  </si>
  <si>
    <t>PassWord12</t>
  </si>
  <si>
    <t>PassWord13</t>
  </si>
  <si>
    <t>PassWord14</t>
  </si>
  <si>
    <t>PassWord15</t>
  </si>
  <si>
    <t>PassWord16</t>
  </si>
  <si>
    <t>PassWord17</t>
  </si>
  <si>
    <t>PassWord18</t>
  </si>
  <si>
    <t>PassWord19</t>
  </si>
  <si>
    <t>PassWord20</t>
  </si>
  <si>
    <t>Correo@PlaceHolder.com1</t>
  </si>
  <si>
    <t>Correo@PlaceHolder.com2</t>
  </si>
  <si>
    <t>Correo@PlaceHolder.com3</t>
  </si>
  <si>
    <t>Correo@PlaceHolder.com4</t>
  </si>
  <si>
    <t>Correo@PlaceHolder.com5</t>
  </si>
  <si>
    <t>Correo@PlaceHolder.com6</t>
  </si>
  <si>
    <t>Correo@PlaceHolder.com7</t>
  </si>
  <si>
    <t>Correo@PlaceHolder.com9</t>
  </si>
  <si>
    <t>Correo@PlaceHolder.com10</t>
  </si>
  <si>
    <t>Correo@PlaceHolder.com11</t>
  </si>
  <si>
    <t>Correo@PlaceHolder.com12</t>
  </si>
  <si>
    <t>Correo@PlaceHolder.com13</t>
  </si>
  <si>
    <t>Correo@PlaceHolder.com14</t>
  </si>
  <si>
    <t>Correo@PlaceHolder.com15</t>
  </si>
  <si>
    <t>Correo@PlaceHolder.com16</t>
  </si>
  <si>
    <t>Correo@PlaceHolder.com17</t>
  </si>
  <si>
    <t>Correo@PlaceHolder.com18</t>
  </si>
  <si>
    <t>Correo@PlaceHolder.com19</t>
  </si>
  <si>
    <t>Correo@PlaceHolder.com20</t>
  </si>
  <si>
    <t>CargoPlaceHolder</t>
  </si>
  <si>
    <t>true</t>
  </si>
  <si>
    <t>false</t>
  </si>
  <si>
    <t>ID_Asistencia</t>
  </si>
  <si>
    <t xml:space="preserve">ID_Empleado </t>
  </si>
  <si>
    <t>*ID_Asistencia</t>
  </si>
  <si>
    <t>Fecha_Asistencia</t>
  </si>
  <si>
    <t>Tipo_Marcado</t>
  </si>
  <si>
    <t>Hora_Marcado</t>
  </si>
  <si>
    <t>TiempoLlegado</t>
  </si>
  <si>
    <t>Estado_Asis</t>
  </si>
  <si>
    <t>Hora_Entrada</t>
  </si>
  <si>
    <t>Hora_Salida</t>
  </si>
  <si>
    <t>Estado</t>
  </si>
  <si>
    <t>Nohasalido</t>
  </si>
  <si>
    <t>Hora trabajadas</t>
  </si>
  <si>
    <t>SalarioHora</t>
  </si>
  <si>
    <t xml:space="preserve"> 01/01/2025 7:00:00</t>
  </si>
  <si>
    <t>8</t>
  </si>
  <si>
    <t>21</t>
  </si>
  <si>
    <t>testeamos</t>
  </si>
  <si>
    <t>Blabla@gmail.com</t>
  </si>
  <si>
    <t>Charlie</t>
  </si>
  <si>
    <t>0</t>
  </si>
  <si>
    <t>Charlieisreal</t>
  </si>
  <si>
    <t>Correo@PlaceHolder.com21</t>
  </si>
  <si>
    <t>Dirreción PlaceHolder21</t>
  </si>
  <si>
    <t>22</t>
  </si>
  <si>
    <t>UNiversidad nacional de Ingeneria RUBS</t>
  </si>
  <si>
    <t>1</t>
  </si>
  <si>
    <t>7:30 AM</t>
  </si>
  <si>
    <t>82371243</t>
  </si>
  <si>
    <t>pepe.rodriguez@uni.std.edu.ni</t>
  </si>
  <si>
    <t>001-121202-1531B</t>
  </si>
  <si>
    <t>Pepe</t>
  </si>
  <si>
    <t>10000</t>
  </si>
  <si>
    <t>PepeUser1</t>
  </si>
  <si>
    <t>PepePassWord</t>
  </si>
  <si>
    <t>12</t>
  </si>
  <si>
    <t>7:00 a. m.</t>
  </si>
  <si>
    <t>82827788</t>
  </si>
  <si>
    <t>2</t>
  </si>
  <si>
    <t>C$   8.000,00</t>
  </si>
  <si>
    <t>23</t>
  </si>
  <si>
    <t>Un lugar</t>
  </si>
  <si>
    <t>testeo</t>
  </si>
  <si>
    <t>7:00 AM</t>
  </si>
  <si>
    <t>82738217</t>
  </si>
  <si>
    <t>josesito.ejemplo@ejemplo.com</t>
  </si>
  <si>
    <t>001-110504-150B</t>
  </si>
  <si>
    <t>Josesito</t>
  </si>
  <si>
    <t>1234</t>
  </si>
  <si>
    <t>14</t>
  </si>
  <si>
    <t>82827790</t>
  </si>
  <si>
    <t>Empleado14</t>
  </si>
  <si>
    <t>24</t>
  </si>
  <si>
    <t>UNI - Rupac</t>
  </si>
  <si>
    <t>7:00 Am</t>
  </si>
  <si>
    <t>82823120</t>
  </si>
  <si>
    <t>lola@lolaloca.com</t>
  </si>
  <si>
    <t>000-150106-1054E</t>
  </si>
  <si>
    <t>Lola</t>
  </si>
  <si>
    <t>9000</t>
  </si>
  <si>
    <t>lola123</t>
  </si>
  <si>
    <t>lola1234</t>
  </si>
  <si>
    <t>Doki</t>
  </si>
  <si>
    <t>doki1234</t>
  </si>
  <si>
    <t>25</t>
  </si>
  <si>
    <t>Tipitapa</t>
  </si>
  <si>
    <t>87684876</t>
  </si>
  <si>
    <t>hannah@hannah.com</t>
  </si>
  <si>
    <t>000-110402-1467A</t>
  </si>
  <si>
    <t>Hannah</t>
  </si>
  <si>
    <t>hannahuser123</t>
  </si>
  <si>
    <t>hannah1234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</si>
</sst>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[$-F400]h:mm:ss\ AM/PM"/>
    <numFmt numFmtId="165" formatCode="_-[$C$-4C0A]* #,##0.00_-;\-[$C$-4C0A]* #,##0.00_-;_-[$C$-4C0A]* &quot;-&quot;??_-;_-@_-"/>
    <numFmt numFmtId="166" formatCode="#.##0\ \€;\-#.##0\ \€"/>
    <numFmt numFmtId="167" formatCode="dd/mm/aaaa\ h:mm"/>
    <numFmt numFmtId="168" formatCode="#.##0 €;-#.##0 €"/>
    <numFmt numFmtId="169" formatCode="dd/mm/aaaa h:mm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75">
    <xf numFmtId="0" fontId="0" fillId="0" borderId="0" xfId="0"/>
    <xf numFmtId="18" fontId="0" fillId="0" borderId="0" xfId="0" applyNumberFormat="1"/>
    <xf numFmtId="0" fontId="2" fillId="0" borderId="0" xfId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" fontId="0" fillId="0" borderId="0" xfId="0" applyNumberFormat="1"/>
    <xf numFmtId="165" fontId="0" fillId="0" borderId="0" xfId="2" applyNumberFormat="1" applyFont="1"/>
    <xf numFmtId="2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2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168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169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168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2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168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  <xf numFmtId="0" fontId="0" fillId="0" borderId="0" xfId="0" applyNumberFormat="true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Correo@PlaceHolder.com1" TargetMode="External" Type="http://schemas.openxmlformats.org/officeDocument/2006/relationships/hyperlink"/><Relationship Id="rId2" Target="mailto:Correo@PlaceHolder.com1" TargetMode="External" Type="http://schemas.openxmlformats.org/officeDocument/2006/relationships/hyperlink"/><Relationship Id="rId3" Target="mailto:Correo@PlaceHolder.com1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7571-08FE-4108-89E5-B516651B2EE8}">
  <dimension ref="A1:O178"/>
  <sheetViews>
    <sheetView workbookViewId="0">
      <selection activeCell="F13" sqref="F13"/>
    </sheetView>
  </sheetViews>
  <sheetFormatPr baseColWidth="10" defaultRowHeight="15" x14ac:dyDescent="0.25"/>
  <cols>
    <col min="1" max="1" bestFit="true" customWidth="true" width="12.5703125"/>
    <col min="2" max="2" bestFit="true" customWidth="true" width="18.0"/>
    <col min="3" max="3" bestFit="true" customWidth="true" width="17.0"/>
    <col min="4" max="4" bestFit="true" customWidth="true" width="21.5703125"/>
    <col min="5" max="5" bestFit="true" customWidth="true" width="18.42578125"/>
    <col min="6" max="6" bestFit="true" customWidth="true" width="16.42578125"/>
    <col min="7" max="7" bestFit="true" customWidth="true" width="22.140625"/>
    <col min="8" max="8" bestFit="true" customWidth="true" width="11.0"/>
    <col min="9" max="9" bestFit="true" customWidth="true" width="11.7109375"/>
    <col min="10" max="10" bestFit="true" customWidth="true" width="26.0"/>
    <col min="11" max="11" bestFit="true" customWidth="true" width="17.0"/>
    <col min="12" max="12" bestFit="true" customWidth="true" width="6.28515625"/>
  </cols>
  <sheetData>
    <row r="1" spans="1:15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O1" t="s" s="0">
        <v>124</v>
      </c>
    </row>
    <row r="2" spans="1:15" x14ac:dyDescent="0.25">
      <c r="A2" s="0">
        <v>1</v>
      </c>
      <c r="B2" t="s" s="0">
        <v>12</v>
      </c>
      <c r="C2" t="s" s="0">
        <v>19</v>
      </c>
      <c r="D2" t="s" s="0">
        <v>20</v>
      </c>
      <c r="E2" s="0">
        <v>82827777</v>
      </c>
      <c r="F2" s="0">
        <v>1</v>
      </c>
      <c r="G2" s="1">
        <v>0.29166666666666669</v>
      </c>
      <c r="H2" s="0">
        <v>1</v>
      </c>
      <c r="I2" s="9">
        <v>8000</v>
      </c>
      <c r="J2" s="2" t="s">
        <v>89</v>
      </c>
      <c r="K2" t="s" s="0">
        <v>108</v>
      </c>
      <c r="L2" t="s" s="0">
        <v>109</v>
      </c>
      <c r="O2" s="0">
        <f>I2/8</f>
        <v>1000</v>
      </c>
    </row>
    <row r="3" spans="1:15" x14ac:dyDescent="0.25">
      <c r="A3" s="0">
        <v>2</v>
      </c>
      <c r="B3" t="s" s="0">
        <v>13</v>
      </c>
      <c r="C3" t="s" s="0">
        <v>19</v>
      </c>
      <c r="D3" t="s" s="0">
        <v>21</v>
      </c>
      <c r="E3" s="0">
        <v>82827778</v>
      </c>
      <c r="F3" s="0">
        <v>2</v>
      </c>
      <c r="G3" s="1">
        <v>0.29166666666666669</v>
      </c>
      <c r="H3" s="0">
        <v>2</v>
      </c>
      <c r="I3" s="9">
        <v>8000</v>
      </c>
      <c r="J3" s="2" t="s">
        <v>90</v>
      </c>
      <c r="K3" t="s" s="0">
        <v>108</v>
      </c>
      <c r="L3" t="s" s="0">
        <v>110</v>
      </c>
      <c r="O3" s="0">
        <f t="shared" ref="O3:O66" si="0">I3/8</f>
        <v>1000</v>
      </c>
    </row>
    <row r="4" spans="1:15" x14ac:dyDescent="0.25">
      <c r="A4" s="0">
        <v>3</v>
      </c>
      <c r="B4" t="s" s="0">
        <v>14</v>
      </c>
      <c r="C4" t="s" s="0">
        <v>19</v>
      </c>
      <c r="D4" t="s" s="0">
        <v>22</v>
      </c>
      <c r="E4" s="0">
        <v>82827779</v>
      </c>
      <c r="F4" s="0">
        <v>3</v>
      </c>
      <c r="G4" s="1">
        <v>0.29166666666666669</v>
      </c>
      <c r="H4" s="0">
        <v>3</v>
      </c>
      <c r="I4" s="9">
        <v>8000</v>
      </c>
      <c r="J4" s="2" t="s">
        <v>91</v>
      </c>
      <c r="K4" t="s" s="0">
        <v>108</v>
      </c>
      <c r="L4" t="s" s="0">
        <v>109</v>
      </c>
      <c r="O4" s="0">
        <f t="shared" si="0"/>
        <v>1000</v>
      </c>
    </row>
    <row r="5" spans="1:15" x14ac:dyDescent="0.25">
      <c r="A5" s="0">
        <v>4</v>
      </c>
      <c r="B5" t="s" s="0">
        <v>15</v>
      </c>
      <c r="C5" t="s" s="0">
        <v>19</v>
      </c>
      <c r="D5" t="s" s="0">
        <v>23</v>
      </c>
      <c r="E5" s="0">
        <v>82827780</v>
      </c>
      <c r="F5" s="0">
        <v>4</v>
      </c>
      <c r="G5" s="1">
        <v>0.29166666666666669</v>
      </c>
      <c r="H5" s="0">
        <v>4</v>
      </c>
      <c r="I5" s="9">
        <v>8000</v>
      </c>
      <c r="J5" s="2" t="s">
        <v>92</v>
      </c>
      <c r="K5" t="s" s="0">
        <v>108</v>
      </c>
      <c r="L5" t="s" s="0">
        <v>110</v>
      </c>
      <c r="O5" s="0">
        <f t="shared" si="0"/>
        <v>1000</v>
      </c>
    </row>
    <row r="6" spans="1:15" x14ac:dyDescent="0.25">
      <c r="A6" s="0">
        <v>5</v>
      </c>
      <c r="B6" t="s" s="0">
        <v>16</v>
      </c>
      <c r="C6" t="s" s="0">
        <v>19</v>
      </c>
      <c r="D6" t="s" s="0">
        <v>24</v>
      </c>
      <c r="E6" s="0">
        <v>82827781</v>
      </c>
      <c r="F6" s="0">
        <v>1</v>
      </c>
      <c r="G6" s="1">
        <v>0.29166666666666669</v>
      </c>
      <c r="H6" s="0">
        <v>5</v>
      </c>
      <c r="I6" s="9">
        <v>8000</v>
      </c>
      <c r="J6" s="2" t="s">
        <v>93</v>
      </c>
      <c r="K6" t="s" s="0">
        <v>108</v>
      </c>
      <c r="L6" t="s" s="0">
        <v>109</v>
      </c>
      <c r="O6" s="0">
        <f t="shared" si="0"/>
        <v>1000</v>
      </c>
    </row>
    <row r="7" spans="1:15" x14ac:dyDescent="0.25">
      <c r="A7" s="0">
        <v>6</v>
      </c>
      <c r="B7" t="s" s="0">
        <v>17</v>
      </c>
      <c r="C7" t="s" s="0">
        <v>19</v>
      </c>
      <c r="D7" t="s" s="0">
        <v>25</v>
      </c>
      <c r="E7" s="0">
        <v>82827782</v>
      </c>
      <c r="F7" s="0">
        <v>2</v>
      </c>
      <c r="G7" s="1">
        <v>0.29166666666666669</v>
      </c>
      <c r="H7" s="0">
        <v>6</v>
      </c>
      <c r="I7" s="9">
        <v>8000</v>
      </c>
      <c r="J7" s="2" t="s">
        <v>94</v>
      </c>
      <c r="K7" t="s" s="0">
        <v>108</v>
      </c>
      <c r="L7" t="s" s="0">
        <v>110</v>
      </c>
      <c r="O7" s="0">
        <f t="shared" si="0"/>
        <v>1000</v>
      </c>
    </row>
    <row r="8" spans="1:15" x14ac:dyDescent="0.25">
      <c r="A8" s="0">
        <v>7</v>
      </c>
      <c r="B8" t="s" s="0">
        <v>18</v>
      </c>
      <c r="C8" t="s" s="0">
        <v>19</v>
      </c>
      <c r="D8" t="s" s="0">
        <v>26</v>
      </c>
      <c r="E8" s="0">
        <v>82827783</v>
      </c>
      <c r="F8" s="0">
        <v>3</v>
      </c>
      <c r="G8" s="1">
        <v>0.29166666666666669</v>
      </c>
      <c r="H8" s="0">
        <v>7</v>
      </c>
      <c r="I8" s="9">
        <v>8000</v>
      </c>
      <c r="J8" s="2" t="s">
        <v>95</v>
      </c>
      <c r="K8" t="s" s="0">
        <v>108</v>
      </c>
      <c r="L8" t="s" s="0">
        <v>109</v>
      </c>
      <c r="O8" s="0">
        <f t="shared" si="0"/>
        <v>1000</v>
      </c>
    </row>
    <row r="9" spans="1:15" x14ac:dyDescent="0.25">
      <c r="A9" t="s" s="0">
        <v>126</v>
      </c>
      <c r="B9" t="s" s="0">
        <v>18</v>
      </c>
      <c r="C9" t="s" s="0">
        <v>19</v>
      </c>
      <c r="D9" t="s" s="0">
        <v>27</v>
      </c>
      <c r="E9" s="0">
        <v>82827784</v>
      </c>
      <c r="F9" s="0">
        <v>2</v>
      </c>
      <c r="G9" s="6">
        <v>0.3125</v>
      </c>
      <c r="H9" s="0">
        <v>0</v>
      </c>
      <c r="I9" s="9">
        <v>8000</v>
      </c>
      <c r="J9" t="s" s="0">
        <v>129</v>
      </c>
      <c r="K9" t="s" s="0">
        <v>128</v>
      </c>
      <c r="L9" t="s" s="0">
        <v>110</v>
      </c>
      <c r="O9" s="0">
        <f t="shared" si="0"/>
        <v>1000</v>
      </c>
    </row>
    <row r="10" spans="1:15" x14ac:dyDescent="0.25">
      <c r="A10" s="0">
        <v>9</v>
      </c>
      <c r="B10" t="s" s="0">
        <v>18</v>
      </c>
      <c r="C10" t="s" s="0">
        <v>19</v>
      </c>
      <c r="D10" t="s" s="0">
        <v>28</v>
      </c>
      <c r="E10" s="0">
        <v>82827785</v>
      </c>
      <c r="F10" s="0">
        <v>1</v>
      </c>
      <c r="G10" s="1">
        <v>0.29166666666666669</v>
      </c>
      <c r="H10" s="0">
        <v>9</v>
      </c>
      <c r="I10" s="9">
        <v>8000</v>
      </c>
      <c r="J10" s="2" t="s">
        <v>96</v>
      </c>
      <c r="K10" t="s" s="0">
        <v>108</v>
      </c>
      <c r="L10" t="s" s="0">
        <v>109</v>
      </c>
      <c r="O10" s="0">
        <f t="shared" si="0"/>
        <v>1000</v>
      </c>
    </row>
    <row r="11" spans="1:15" x14ac:dyDescent="0.25">
      <c r="A11" s="0">
        <v>10</v>
      </c>
      <c r="B11" t="s" s="0">
        <v>18</v>
      </c>
      <c r="C11" t="s" s="0">
        <v>19</v>
      </c>
      <c r="D11" t="s" s="0">
        <v>29</v>
      </c>
      <c r="E11" s="0">
        <v>82827786</v>
      </c>
      <c r="F11" s="0">
        <v>2</v>
      </c>
      <c r="G11" s="1">
        <v>0.29166666666666669</v>
      </c>
      <c r="H11" s="0">
        <v>1</v>
      </c>
      <c r="I11" s="9">
        <v>8000</v>
      </c>
      <c r="J11" s="2" t="s">
        <v>97</v>
      </c>
      <c r="K11" t="s" s="0">
        <v>108</v>
      </c>
      <c r="L11" t="s" s="0">
        <v>110</v>
      </c>
      <c r="O11" s="0">
        <f t="shared" si="0"/>
        <v>1000</v>
      </c>
    </row>
    <row r="12" spans="1:15" x14ac:dyDescent="0.25">
      <c r="A12" s="0">
        <v>11</v>
      </c>
      <c r="B12" t="s" s="0">
        <v>18</v>
      </c>
      <c r="C12" t="s" s="0">
        <v>19</v>
      </c>
      <c r="D12" t="s" s="0">
        <v>30</v>
      </c>
      <c r="E12" s="0">
        <v>82827787</v>
      </c>
      <c r="F12" s="0">
        <v>3</v>
      </c>
      <c r="G12" s="1">
        <v>0.29166666666666669</v>
      </c>
      <c r="H12" s="0">
        <v>1</v>
      </c>
      <c r="I12" s="9">
        <v>8000</v>
      </c>
      <c r="J12" s="2" t="s">
        <v>98</v>
      </c>
      <c r="K12" t="s" s="0">
        <v>108</v>
      </c>
      <c r="L12" t="s" s="0">
        <v>109</v>
      </c>
      <c r="O12" s="0">
        <f t="shared" si="0"/>
        <v>1000</v>
      </c>
    </row>
    <row r="13" spans="1:15" x14ac:dyDescent="0.25">
      <c r="A13" t="s" s="0">
        <v>146</v>
      </c>
      <c r="B13" t="s" s="0">
        <v>18</v>
      </c>
      <c r="C13" t="s" s="0">
        <v>19</v>
      </c>
      <c r="D13" t="s" s="0">
        <v>31</v>
      </c>
      <c r="E13" t="s" s="0">
        <v>148</v>
      </c>
      <c r="F13" s="0">
        <v>1</v>
      </c>
      <c r="G13" s="12" t="s">
        <v>147</v>
      </c>
      <c r="H13" t="s" s="0">
        <v>149</v>
      </c>
      <c r="I13" s="11" t="s">
        <v>150</v>
      </c>
      <c r="J13" t="s" s="0">
        <v>99</v>
      </c>
      <c r="K13" t="s" s="0">
        <v>108</v>
      </c>
      <c r="L13" t="s" s="0">
        <v>110</v>
      </c>
      <c r="O13" s="0">
        <f t="shared" si="0"/>
        <v>1000</v>
      </c>
    </row>
    <row r="14" spans="1:15" x14ac:dyDescent="0.25">
      <c r="A14" s="0">
        <v>13</v>
      </c>
      <c r="B14" t="s" s="0">
        <v>18</v>
      </c>
      <c r="C14" t="s" s="0">
        <v>19</v>
      </c>
      <c r="D14" t="s" s="0">
        <v>32</v>
      </c>
      <c r="E14" s="0">
        <v>82827789</v>
      </c>
      <c r="F14" s="0">
        <v>1</v>
      </c>
      <c r="G14" s="1">
        <v>0.29166666666666669</v>
      </c>
      <c r="H14" s="0">
        <v>1</v>
      </c>
      <c r="I14" s="9">
        <v>8000</v>
      </c>
      <c r="J14" s="2" t="s">
        <v>100</v>
      </c>
      <c r="K14" t="s" s="0">
        <v>108</v>
      </c>
      <c r="L14" t="s" s="0">
        <v>109</v>
      </c>
      <c r="O14" s="0">
        <f t="shared" si="0"/>
        <v>1000</v>
      </c>
    </row>
    <row r="15" spans="1:15" x14ac:dyDescent="0.25">
      <c r="A15" t="s" s="0">
        <v>160</v>
      </c>
      <c r="B15" t="s" s="0">
        <v>162</v>
      </c>
      <c r="C15" t="s" s="0">
        <v>19</v>
      </c>
      <c r="D15" t="s" s="0">
        <v>33</v>
      </c>
      <c r="E15" t="s" s="0">
        <v>161</v>
      </c>
      <c r="F15" s="0">
        <v>1</v>
      </c>
      <c r="G15" s="12" t="s">
        <v>147</v>
      </c>
      <c r="H15" t="s" s="0">
        <v>137</v>
      </c>
      <c r="I15" s="11" t="s">
        <v>150</v>
      </c>
      <c r="J15" t="s" s="0">
        <v>101</v>
      </c>
      <c r="K15" t="s" s="0">
        <v>108</v>
      </c>
      <c r="L15" t="s" s="0">
        <v>110</v>
      </c>
      <c r="O15" s="0">
        <f t="shared" si="0"/>
        <v>1000</v>
      </c>
    </row>
    <row r="16" spans="1:15" x14ac:dyDescent="0.25">
      <c r="A16" s="0">
        <v>15</v>
      </c>
      <c r="B16" t="s" s="0">
        <v>18</v>
      </c>
      <c r="C16" t="s" s="0">
        <v>19</v>
      </c>
      <c r="D16" t="s" s="0">
        <v>34</v>
      </c>
      <c r="E16" s="0">
        <v>82827791</v>
      </c>
      <c r="F16" s="0">
        <v>3</v>
      </c>
      <c r="G16" s="1">
        <v>0.29166666666666669</v>
      </c>
      <c r="H16" s="0">
        <v>1</v>
      </c>
      <c r="I16" s="9">
        <v>8000</v>
      </c>
      <c r="J16" s="2" t="s">
        <v>102</v>
      </c>
      <c r="K16" t="s" s="0">
        <v>108</v>
      </c>
      <c r="L16" t="s" s="0">
        <v>109</v>
      </c>
      <c r="O16" s="0">
        <f t="shared" si="0"/>
        <v>1000</v>
      </c>
    </row>
    <row r="17" spans="1:15" x14ac:dyDescent="0.25">
      <c r="A17" s="0">
        <v>16</v>
      </c>
      <c r="B17" t="s" s="0">
        <v>18</v>
      </c>
      <c r="C17" t="s" s="0">
        <v>19</v>
      </c>
      <c r="D17" t="s" s="0">
        <v>35</v>
      </c>
      <c r="E17" s="0">
        <v>82827792</v>
      </c>
      <c r="F17" s="0">
        <v>4</v>
      </c>
      <c r="G17" s="1">
        <v>0.29166666666666669</v>
      </c>
      <c r="H17" s="0">
        <v>1</v>
      </c>
      <c r="I17" s="9">
        <v>8000</v>
      </c>
      <c r="J17" s="2" t="s">
        <v>103</v>
      </c>
      <c r="K17" t="s" s="0">
        <v>108</v>
      </c>
      <c r="L17" t="s" s="0">
        <v>110</v>
      </c>
      <c r="O17" s="0">
        <f t="shared" si="0"/>
        <v>1000</v>
      </c>
    </row>
    <row r="18" spans="1:15" x14ac:dyDescent="0.25">
      <c r="A18" s="0">
        <v>17</v>
      </c>
      <c r="B18" t="s" s="0">
        <v>18</v>
      </c>
      <c r="C18" t="s" s="0">
        <v>19</v>
      </c>
      <c r="D18" t="s" s="0">
        <v>36</v>
      </c>
      <c r="E18" s="0">
        <v>82827793</v>
      </c>
      <c r="F18" s="0">
        <v>1</v>
      </c>
      <c r="G18" s="1">
        <v>0.29166666666666669</v>
      </c>
      <c r="H18" s="0">
        <v>1</v>
      </c>
      <c r="I18" s="9">
        <v>8000</v>
      </c>
      <c r="J18" s="2" t="s">
        <v>104</v>
      </c>
      <c r="K18" t="s" s="0">
        <v>108</v>
      </c>
      <c r="L18" t="s" s="0">
        <v>109</v>
      </c>
      <c r="O18" s="0">
        <f t="shared" si="0"/>
        <v>1000</v>
      </c>
    </row>
    <row r="19" spans="1:15" x14ac:dyDescent="0.25">
      <c r="A19" s="0">
        <v>18</v>
      </c>
      <c r="B19" t="s" s="0">
        <v>18</v>
      </c>
      <c r="C19" t="s" s="0">
        <v>19</v>
      </c>
      <c r="D19" t="s" s="0">
        <v>37</v>
      </c>
      <c r="E19" s="0">
        <v>82827794</v>
      </c>
      <c r="F19" s="0">
        <v>2</v>
      </c>
      <c r="G19" s="1">
        <v>0.29166666666666669</v>
      </c>
      <c r="H19" s="0">
        <v>1</v>
      </c>
      <c r="I19" s="9">
        <v>8000</v>
      </c>
      <c r="J19" s="2" t="s">
        <v>105</v>
      </c>
      <c r="K19" t="s" s="0">
        <v>108</v>
      </c>
      <c r="L19" t="s" s="0">
        <v>110</v>
      </c>
      <c r="O19" s="0">
        <f t="shared" si="0"/>
        <v>1000</v>
      </c>
    </row>
    <row r="20" spans="1:15" x14ac:dyDescent="0.25">
      <c r="A20" s="0">
        <v>19</v>
      </c>
      <c r="B20" t="s" s="0">
        <v>18</v>
      </c>
      <c r="C20" t="s" s="0">
        <v>19</v>
      </c>
      <c r="D20" t="s" s="0">
        <v>38</v>
      </c>
      <c r="E20" s="0">
        <v>82827795</v>
      </c>
      <c r="F20" s="0">
        <v>3</v>
      </c>
      <c r="G20" s="1">
        <v>0.29166666666666669</v>
      </c>
      <c r="H20" s="0">
        <v>1</v>
      </c>
      <c r="I20" s="9">
        <v>8000</v>
      </c>
      <c r="J20" s="2" t="s">
        <v>106</v>
      </c>
      <c r="K20" t="s" s="0">
        <v>108</v>
      </c>
      <c r="L20" t="s" s="0">
        <v>109</v>
      </c>
      <c r="O20" s="0">
        <f t="shared" si="0"/>
        <v>1000</v>
      </c>
    </row>
    <row r="21" spans="1:15" x14ac:dyDescent="0.25">
      <c r="A21" s="0">
        <v>20</v>
      </c>
      <c r="B21" t="s" s="0">
        <v>18</v>
      </c>
      <c r="C21" t="s" s="0">
        <v>19</v>
      </c>
      <c r="D21" t="s" s="0">
        <v>39</v>
      </c>
      <c r="E21" s="0">
        <v>82827796</v>
      </c>
      <c r="F21" s="0">
        <v>4</v>
      </c>
      <c r="G21" s="1">
        <v>0.29166666666666669</v>
      </c>
      <c r="H21" s="0">
        <v>1</v>
      </c>
      <c r="I21" s="9">
        <v>8000</v>
      </c>
      <c r="J21" s="2" t="s">
        <v>107</v>
      </c>
      <c r="K21" t="s" s="0">
        <v>108</v>
      </c>
      <c r="L21" t="s" s="0">
        <v>110</v>
      </c>
      <c r="O21" s="0">
        <f t="shared" si="0"/>
        <v>1000</v>
      </c>
    </row>
    <row r="22" spans="1:15" x14ac:dyDescent="0.25">
      <c r="A22" t="s" s="0">
        <v>127</v>
      </c>
      <c r="B22" t="s" s="0">
        <v>18</v>
      </c>
      <c r="C22" t="s" s="0">
        <v>19</v>
      </c>
      <c r="D22" t="s" s="0">
        <v>134</v>
      </c>
      <c r="E22" s="0">
        <v>82827797</v>
      </c>
      <c r="F22" s="0">
        <v>5</v>
      </c>
      <c r="G22" s="1">
        <v>0.29166666666666669</v>
      </c>
      <c r="H22" t="s" s="0">
        <v>131</v>
      </c>
      <c r="I22" s="9">
        <v>8000</v>
      </c>
      <c r="J22" s="2" t="s">
        <v>133</v>
      </c>
      <c r="K22" t="s" s="0">
        <v>108</v>
      </c>
      <c r="L22" t="s" s="0">
        <v>110</v>
      </c>
      <c r="O22" s="0">
        <f t="shared" si="0"/>
        <v>1000</v>
      </c>
    </row>
    <row r="23" spans="1:15" x14ac:dyDescent="0.25">
      <c r="A23" t="s" s="0">
        <v>135</v>
      </c>
      <c r="B23" t="s" s="0">
        <v>142</v>
      </c>
      <c r="C23" t="s" s="0">
        <v>141</v>
      </c>
      <c r="D23" t="s" s="0">
        <v>136</v>
      </c>
      <c r="E23" t="s" s="0">
        <v>139</v>
      </c>
      <c r="F23" t="s" s="0">
        <v>137</v>
      </c>
      <c r="G23" s="10" t="s">
        <v>138</v>
      </c>
      <c r="H23" t="s" s="0">
        <v>131</v>
      </c>
      <c r="I23" s="11" t="s">
        <v>143</v>
      </c>
      <c r="J23" t="s" s="0">
        <v>140</v>
      </c>
      <c r="K23" t="s" s="0">
        <v>42</v>
      </c>
      <c r="L23" t="s" s="0">
        <v>110</v>
      </c>
      <c r="O23" s="0">
        <f t="shared" si="0"/>
        <v>0</v>
      </c>
    </row>
    <row r="24" spans="1:15" x14ac:dyDescent="0.25">
      <c r="A24" t="s" s="0">
        <v>151</v>
      </c>
      <c r="B24" t="s" s="0">
        <v>158</v>
      </c>
      <c r="C24" t="s" s="0">
        <v>157</v>
      </c>
      <c r="D24" t="s" s="0">
        <v>152</v>
      </c>
      <c r="E24" t="s" s="0">
        <v>155</v>
      </c>
      <c r="F24" t="s" s="0">
        <v>137</v>
      </c>
      <c r="G24" s="10" t="s">
        <v>154</v>
      </c>
      <c r="H24" t="s" s="0">
        <v>131</v>
      </c>
      <c r="I24" s="11" t="s">
        <v>143</v>
      </c>
      <c r="J24" t="s" s="0">
        <v>156</v>
      </c>
      <c r="K24" t="s" s="0">
        <v>153</v>
      </c>
      <c r="L24" t="s" s="0">
        <v>109</v>
      </c>
      <c r="O24" s="0">
        <f t="shared" si="0"/>
        <v>0</v>
      </c>
    </row>
    <row r="25" spans="1:15" x14ac:dyDescent="0.25">
      <c r="A25" t="s" s="36">
        <v>163</v>
      </c>
      <c r="B25" t="s" s="44">
        <v>173</v>
      </c>
      <c r="C25" t="s" s="43">
        <v>168</v>
      </c>
      <c r="D25" t="s" s="37">
        <v>164</v>
      </c>
      <c r="E25" t="s" s="41">
        <v>166</v>
      </c>
      <c r="F25" t="s" s="38">
        <v>131</v>
      </c>
      <c r="G25" t="s" s="40">
        <v>165</v>
      </c>
      <c r="H25" t="s" s="46">
        <v>131</v>
      </c>
      <c r="I25" t="s" s="47">
        <v>170</v>
      </c>
      <c r="J25" t="s" s="42">
        <v>167</v>
      </c>
      <c r="K25" t="s" s="39">
        <v>42</v>
      </c>
      <c r="L25" t="s" s="45">
        <v>110</v>
      </c>
      <c r="O25" s="0">
        <f t="shared" si="0"/>
        <v>0</v>
      </c>
    </row>
    <row r="26" spans="1:15" x14ac:dyDescent="0.25">
      <c r="A26" t="s" s="54">
        <v>175</v>
      </c>
      <c r="B26" t="s" s="62">
        <v>180</v>
      </c>
      <c r="C26" t="s" s="61">
        <v>179</v>
      </c>
      <c r="D26" t="s" s="55">
        <v>176</v>
      </c>
      <c r="E26" t="s" s="59">
        <v>177</v>
      </c>
      <c r="F26" t="s" s="56">
        <v>137</v>
      </c>
      <c r="G26" t="s" s="58">
        <v>138</v>
      </c>
      <c r="H26" t="s" s="64">
        <v>137</v>
      </c>
      <c r="I26" t="s" s="65">
        <v>143</v>
      </c>
      <c r="J26" t="s" s="60">
        <v>178</v>
      </c>
      <c r="K26" t="s" s="57">
        <v>42</v>
      </c>
      <c r="L26" t="s" s="63">
        <v>109</v>
      </c>
      <c r="O26" s="0">
        <f t="shared" si="0"/>
        <v>0</v>
      </c>
    </row>
    <row r="27" spans="1:15" x14ac:dyDescent="0.25">
      <c r="O27" s="0">
        <f t="shared" si="0"/>
        <v>0</v>
      </c>
    </row>
    <row r="28" spans="1:15" x14ac:dyDescent="0.25">
      <c r="O28" s="0">
        <f t="shared" si="0"/>
        <v>0</v>
      </c>
    </row>
    <row r="29" spans="1:15" x14ac:dyDescent="0.25">
      <c r="O29" s="0">
        <f t="shared" si="0"/>
        <v>0</v>
      </c>
    </row>
    <row r="30" spans="1:15" x14ac:dyDescent="0.25">
      <c r="O30" s="0">
        <f t="shared" si="0"/>
        <v>0</v>
      </c>
    </row>
    <row r="31" spans="1:15" x14ac:dyDescent="0.25">
      <c r="O31" s="0">
        <f t="shared" si="0"/>
        <v>0</v>
      </c>
    </row>
    <row r="32" spans="1:15" x14ac:dyDescent="0.25">
      <c r="O32" s="0">
        <f t="shared" si="0"/>
        <v>0</v>
      </c>
    </row>
    <row r="33" spans="15:15" x14ac:dyDescent="0.25">
      <c r="O33" s="0">
        <f t="shared" si="0"/>
        <v>0</v>
      </c>
    </row>
    <row r="34" spans="15:15" x14ac:dyDescent="0.25">
      <c r="O34" s="0">
        <f t="shared" si="0"/>
        <v>0</v>
      </c>
    </row>
    <row r="35" spans="15:15" x14ac:dyDescent="0.25">
      <c r="O35" s="0">
        <f t="shared" si="0"/>
        <v>0</v>
      </c>
    </row>
    <row r="36" spans="15:15" x14ac:dyDescent="0.25">
      <c r="O36" s="0">
        <f t="shared" si="0"/>
        <v>0</v>
      </c>
    </row>
    <row r="37" spans="15:15" x14ac:dyDescent="0.25">
      <c r="O37" s="0">
        <f t="shared" si="0"/>
        <v>0</v>
      </c>
    </row>
    <row r="52" spans="15:15" x14ac:dyDescent="0.25">
      <c r="O52" s="0">
        <f t="shared" si="0"/>
        <v>0</v>
      </c>
    </row>
    <row r="53" spans="15:15" x14ac:dyDescent="0.25">
      <c r="O53" s="0">
        <f t="shared" si="0"/>
        <v>0</v>
      </c>
    </row>
    <row r="54" spans="15:15" x14ac:dyDescent="0.25">
      <c r="O54" s="0">
        <f t="shared" si="0"/>
        <v>0</v>
      </c>
    </row>
    <row r="55" spans="15:15" x14ac:dyDescent="0.25">
      <c r="O55" s="0">
        <f t="shared" si="0"/>
        <v>0</v>
      </c>
    </row>
    <row r="56" spans="15:15" x14ac:dyDescent="0.25">
      <c r="O56" s="0">
        <f t="shared" si="0"/>
        <v>0</v>
      </c>
    </row>
    <row r="57" spans="15:15" x14ac:dyDescent="0.25">
      <c r="O57" s="0">
        <f t="shared" si="0"/>
        <v>0</v>
      </c>
    </row>
    <row r="58" spans="15:15" x14ac:dyDescent="0.25">
      <c r="O58" s="0">
        <f t="shared" si="0"/>
        <v>0</v>
      </c>
    </row>
    <row r="59" spans="15:15" x14ac:dyDescent="0.25">
      <c r="O59" s="0">
        <f t="shared" si="0"/>
        <v>0</v>
      </c>
    </row>
    <row r="60" spans="15:15" x14ac:dyDescent="0.25">
      <c r="O60" s="0">
        <f t="shared" si="0"/>
        <v>0</v>
      </c>
    </row>
    <row r="61" spans="15:15" x14ac:dyDescent="0.25">
      <c r="O61" s="0">
        <f t="shared" si="0"/>
        <v>0</v>
      </c>
    </row>
    <row r="62" spans="15:15" x14ac:dyDescent="0.25">
      <c r="O62" s="0">
        <f t="shared" si="0"/>
        <v>0</v>
      </c>
    </row>
    <row r="63" spans="15:15" x14ac:dyDescent="0.25">
      <c r="O63" s="0">
        <f t="shared" si="0"/>
        <v>0</v>
      </c>
    </row>
    <row r="64" spans="15:15" x14ac:dyDescent="0.25">
      <c r="O64" s="0">
        <f t="shared" si="0"/>
        <v>0</v>
      </c>
    </row>
    <row r="65" spans="15:15" x14ac:dyDescent="0.25">
      <c r="O65" s="0">
        <f t="shared" si="0"/>
        <v>0</v>
      </c>
    </row>
    <row r="66" spans="15:15" x14ac:dyDescent="0.25">
      <c r="O66" s="0">
        <f t="shared" si="0"/>
        <v>0</v>
      </c>
    </row>
    <row r="67" spans="15:15" x14ac:dyDescent="0.25">
      <c r="O67" s="0">
        <f t="shared" ref="O67:O130" si="1">I67/8</f>
        <v>0</v>
      </c>
    </row>
    <row r="68" spans="15:15" x14ac:dyDescent="0.25">
      <c r="O68" s="0">
        <f t="shared" si="1"/>
        <v>0</v>
      </c>
    </row>
    <row r="69" spans="15:15" x14ac:dyDescent="0.25">
      <c r="O69" s="0">
        <f t="shared" si="1"/>
        <v>0</v>
      </c>
    </row>
    <row r="70" spans="15:15" x14ac:dyDescent="0.25">
      <c r="O70" s="0">
        <f t="shared" si="1"/>
        <v>0</v>
      </c>
    </row>
    <row r="71" spans="15:15" x14ac:dyDescent="0.25">
      <c r="O71" s="0">
        <f t="shared" si="1"/>
        <v>0</v>
      </c>
    </row>
    <row r="72" spans="15:15" x14ac:dyDescent="0.25">
      <c r="O72" s="0">
        <f t="shared" si="1"/>
        <v>0</v>
      </c>
    </row>
    <row r="73" spans="15:15" x14ac:dyDescent="0.25">
      <c r="O73" s="0">
        <f t="shared" si="1"/>
        <v>0</v>
      </c>
    </row>
    <row r="74" spans="15:15" x14ac:dyDescent="0.25">
      <c r="O74" s="0">
        <f t="shared" si="1"/>
        <v>0</v>
      </c>
    </row>
    <row r="75" spans="15:15" x14ac:dyDescent="0.25">
      <c r="O75" s="0">
        <f t="shared" si="1"/>
        <v>0</v>
      </c>
    </row>
    <row r="76" spans="15:15" x14ac:dyDescent="0.25">
      <c r="O76" s="0">
        <f t="shared" si="1"/>
        <v>0</v>
      </c>
    </row>
    <row r="77" spans="15:15" x14ac:dyDescent="0.25">
      <c r="O77" s="0">
        <f t="shared" si="1"/>
        <v>0</v>
      </c>
    </row>
    <row r="78" spans="15:15" x14ac:dyDescent="0.25">
      <c r="O78" s="0">
        <f t="shared" si="1"/>
        <v>0</v>
      </c>
    </row>
    <row r="79" spans="15:15" x14ac:dyDescent="0.25">
      <c r="O79" s="0">
        <f t="shared" si="1"/>
        <v>0</v>
      </c>
    </row>
    <row r="80" spans="15:15" x14ac:dyDescent="0.25">
      <c r="O80" s="0">
        <f t="shared" si="1"/>
        <v>0</v>
      </c>
    </row>
    <row r="81" spans="15:15" x14ac:dyDescent="0.25">
      <c r="O81" s="0">
        <f t="shared" si="1"/>
        <v>0</v>
      </c>
    </row>
    <row r="82" spans="15:15" x14ac:dyDescent="0.25">
      <c r="O82" s="0">
        <f t="shared" si="1"/>
        <v>0</v>
      </c>
    </row>
    <row r="83" spans="15:15" x14ac:dyDescent="0.25">
      <c r="O83" s="0">
        <f t="shared" si="1"/>
        <v>0</v>
      </c>
    </row>
    <row r="84" spans="15:15" x14ac:dyDescent="0.25">
      <c r="O84" s="0">
        <f t="shared" si="1"/>
        <v>0</v>
      </c>
    </row>
    <row r="85" spans="15:15" x14ac:dyDescent="0.25">
      <c r="O85" s="0">
        <f t="shared" si="1"/>
        <v>0</v>
      </c>
    </row>
    <row r="86" spans="15:15" x14ac:dyDescent="0.25">
      <c r="O86" s="0">
        <f t="shared" si="1"/>
        <v>0</v>
      </c>
    </row>
    <row r="87" spans="15:15" x14ac:dyDescent="0.25">
      <c r="O87" s="0">
        <f t="shared" si="1"/>
        <v>0</v>
      </c>
    </row>
    <row r="88" spans="15:15" x14ac:dyDescent="0.25">
      <c r="O88" s="0">
        <f t="shared" si="1"/>
        <v>0</v>
      </c>
    </row>
    <row r="89" spans="15:15" x14ac:dyDescent="0.25">
      <c r="O89" s="0">
        <f t="shared" si="1"/>
        <v>0</v>
      </c>
    </row>
    <row r="90" spans="15:15" x14ac:dyDescent="0.25">
      <c r="O90" s="0">
        <f t="shared" si="1"/>
        <v>0</v>
      </c>
    </row>
    <row r="91" spans="15:15" x14ac:dyDescent="0.25">
      <c r="O91" s="0">
        <f t="shared" si="1"/>
        <v>0</v>
      </c>
    </row>
    <row r="92" spans="15:15" x14ac:dyDescent="0.25">
      <c r="O92" s="0">
        <f t="shared" si="1"/>
        <v>0</v>
      </c>
    </row>
    <row r="93" spans="15:15" x14ac:dyDescent="0.25">
      <c r="O93" s="0">
        <f t="shared" si="1"/>
        <v>0</v>
      </c>
    </row>
    <row r="94" spans="15:15" x14ac:dyDescent="0.25">
      <c r="O94" s="0">
        <f t="shared" si="1"/>
        <v>0</v>
      </c>
    </row>
    <row r="95" spans="15:15" x14ac:dyDescent="0.25">
      <c r="O95" s="0">
        <f t="shared" si="1"/>
        <v>0</v>
      </c>
    </row>
    <row r="96" spans="15:15" x14ac:dyDescent="0.25">
      <c r="O96" s="0">
        <f t="shared" si="1"/>
        <v>0</v>
      </c>
    </row>
    <row r="97" spans="15:15" x14ac:dyDescent="0.25">
      <c r="O97" s="0">
        <f t="shared" si="1"/>
        <v>0</v>
      </c>
    </row>
    <row r="98" spans="15:15" x14ac:dyDescent="0.25">
      <c r="O98" s="0">
        <f t="shared" si="1"/>
        <v>0</v>
      </c>
    </row>
    <row r="99" spans="15:15" x14ac:dyDescent="0.25">
      <c r="O99" s="0">
        <f t="shared" si="1"/>
        <v>0</v>
      </c>
    </row>
    <row r="100" spans="15:15" x14ac:dyDescent="0.25">
      <c r="O100" s="0">
        <f t="shared" si="1"/>
        <v>0</v>
      </c>
    </row>
    <row r="101" spans="15:15" x14ac:dyDescent="0.25">
      <c r="O101" s="0">
        <f t="shared" si="1"/>
        <v>0</v>
      </c>
    </row>
    <row r="102" spans="15:15" x14ac:dyDescent="0.25">
      <c r="O102" s="0">
        <f t="shared" si="1"/>
        <v>0</v>
      </c>
    </row>
    <row r="103" spans="15:15" x14ac:dyDescent="0.25">
      <c r="O103" s="0">
        <f t="shared" si="1"/>
        <v>0</v>
      </c>
    </row>
    <row r="104" spans="15:15" x14ac:dyDescent="0.25">
      <c r="O104" s="0">
        <f t="shared" si="1"/>
        <v>0</v>
      </c>
    </row>
    <row r="105" spans="15:15" x14ac:dyDescent="0.25">
      <c r="O105" s="0">
        <f t="shared" si="1"/>
        <v>0</v>
      </c>
    </row>
    <row r="106" spans="15:15" x14ac:dyDescent="0.25">
      <c r="O106" s="0">
        <f t="shared" si="1"/>
        <v>0</v>
      </c>
    </row>
    <row r="107" spans="15:15" x14ac:dyDescent="0.25">
      <c r="O107" s="0">
        <f t="shared" si="1"/>
        <v>0</v>
      </c>
    </row>
    <row r="108" spans="15:15" x14ac:dyDescent="0.25">
      <c r="O108" s="0">
        <f t="shared" si="1"/>
        <v>0</v>
      </c>
    </row>
    <row r="109" spans="15:15" x14ac:dyDescent="0.25">
      <c r="O109" s="0">
        <f t="shared" si="1"/>
        <v>0</v>
      </c>
    </row>
    <row r="110" spans="15:15" x14ac:dyDescent="0.25">
      <c r="O110" s="0">
        <f t="shared" si="1"/>
        <v>0</v>
      </c>
    </row>
    <row r="111" spans="15:15" x14ac:dyDescent="0.25">
      <c r="O111" s="0">
        <f t="shared" si="1"/>
        <v>0</v>
      </c>
    </row>
    <row r="112" spans="15:15" x14ac:dyDescent="0.25">
      <c r="O112" s="0">
        <f t="shared" si="1"/>
        <v>0</v>
      </c>
    </row>
    <row r="113" spans="15:15" x14ac:dyDescent="0.25">
      <c r="O113" s="0">
        <f t="shared" si="1"/>
        <v>0</v>
      </c>
    </row>
    <row r="114" spans="15:15" x14ac:dyDescent="0.25">
      <c r="O114" s="0">
        <f t="shared" si="1"/>
        <v>0</v>
      </c>
    </row>
    <row r="115" spans="15:15" x14ac:dyDescent="0.25">
      <c r="O115" s="0">
        <f t="shared" si="1"/>
        <v>0</v>
      </c>
    </row>
    <row r="116" spans="15:15" x14ac:dyDescent="0.25">
      <c r="O116" s="0">
        <f t="shared" si="1"/>
        <v>0</v>
      </c>
    </row>
    <row r="117" spans="15:15" x14ac:dyDescent="0.25">
      <c r="O117" s="0">
        <f t="shared" si="1"/>
        <v>0</v>
      </c>
    </row>
    <row r="118" spans="15:15" x14ac:dyDescent="0.25">
      <c r="O118" s="0">
        <f t="shared" si="1"/>
        <v>0</v>
      </c>
    </row>
    <row r="119" spans="15:15" x14ac:dyDescent="0.25">
      <c r="O119" s="0">
        <f t="shared" si="1"/>
        <v>0</v>
      </c>
    </row>
    <row r="120" spans="15:15" x14ac:dyDescent="0.25">
      <c r="O120" s="0">
        <f t="shared" si="1"/>
        <v>0</v>
      </c>
    </row>
    <row r="121" spans="15:15" x14ac:dyDescent="0.25">
      <c r="O121" s="0">
        <f t="shared" si="1"/>
        <v>0</v>
      </c>
    </row>
    <row r="122" spans="15:15" x14ac:dyDescent="0.25">
      <c r="O122" s="0">
        <f t="shared" si="1"/>
        <v>0</v>
      </c>
    </row>
    <row r="123" spans="15:15" x14ac:dyDescent="0.25">
      <c r="O123" s="0">
        <f t="shared" si="1"/>
        <v>0</v>
      </c>
    </row>
    <row r="124" spans="15:15" x14ac:dyDescent="0.25">
      <c r="O124" s="0">
        <f t="shared" si="1"/>
        <v>0</v>
      </c>
    </row>
    <row r="125" spans="15:15" x14ac:dyDescent="0.25">
      <c r="O125" s="0">
        <f t="shared" si="1"/>
        <v>0</v>
      </c>
    </row>
    <row r="126" spans="15:15" x14ac:dyDescent="0.25">
      <c r="O126" s="0">
        <f t="shared" si="1"/>
        <v>0</v>
      </c>
    </row>
    <row r="127" spans="15:15" x14ac:dyDescent="0.25">
      <c r="O127" s="0">
        <f t="shared" si="1"/>
        <v>0</v>
      </c>
    </row>
    <row r="128" spans="15:15" x14ac:dyDescent="0.25">
      <c r="O128" s="0">
        <f t="shared" si="1"/>
        <v>0</v>
      </c>
    </row>
    <row r="129" spans="15:15" x14ac:dyDescent="0.25">
      <c r="O129" s="0">
        <f t="shared" si="1"/>
        <v>0</v>
      </c>
    </row>
    <row r="130" spans="15:15" x14ac:dyDescent="0.25">
      <c r="O130" s="0">
        <f t="shared" si="1"/>
        <v>0</v>
      </c>
    </row>
    <row r="131" spans="15:15" x14ac:dyDescent="0.25">
      <c r="O131" s="0">
        <f t="shared" ref="O131:O178" si="2">I131/8</f>
        <v>0</v>
      </c>
    </row>
    <row r="132" spans="15:15" x14ac:dyDescent="0.25">
      <c r="O132" s="0">
        <f t="shared" si="2"/>
        <v>0</v>
      </c>
    </row>
    <row r="133" spans="15:15" x14ac:dyDescent="0.25">
      <c r="O133" s="0">
        <f t="shared" si="2"/>
        <v>0</v>
      </c>
    </row>
    <row r="134" spans="15:15" x14ac:dyDescent="0.25">
      <c r="O134" s="0">
        <f t="shared" si="2"/>
        <v>0</v>
      </c>
    </row>
    <row r="135" spans="15:15" x14ac:dyDescent="0.25">
      <c r="O135" s="0">
        <f t="shared" si="2"/>
        <v>0</v>
      </c>
    </row>
    <row r="136" spans="15:15" x14ac:dyDescent="0.25">
      <c r="O136" s="0">
        <f t="shared" si="2"/>
        <v>0</v>
      </c>
    </row>
    <row r="137" spans="15:15" x14ac:dyDescent="0.25">
      <c r="O137" s="0">
        <f t="shared" si="2"/>
        <v>0</v>
      </c>
    </row>
    <row r="138" spans="15:15" x14ac:dyDescent="0.25">
      <c r="O138" s="0">
        <f t="shared" si="2"/>
        <v>0</v>
      </c>
    </row>
    <row r="139" spans="15:15" x14ac:dyDescent="0.25">
      <c r="O139" s="0">
        <f t="shared" si="2"/>
        <v>0</v>
      </c>
    </row>
    <row r="140" spans="15:15" x14ac:dyDescent="0.25">
      <c r="O140" s="0">
        <f t="shared" si="2"/>
        <v>0</v>
      </c>
    </row>
    <row r="141" spans="15:15" x14ac:dyDescent="0.25">
      <c r="O141" s="0">
        <f t="shared" si="2"/>
        <v>0</v>
      </c>
    </row>
    <row r="142" spans="15:15" x14ac:dyDescent="0.25">
      <c r="O142" s="0">
        <f t="shared" si="2"/>
        <v>0</v>
      </c>
    </row>
    <row r="143" spans="15:15" x14ac:dyDescent="0.25">
      <c r="O143" s="0">
        <f t="shared" si="2"/>
        <v>0</v>
      </c>
    </row>
    <row r="144" spans="15:15" x14ac:dyDescent="0.25">
      <c r="O144" s="0">
        <f t="shared" si="2"/>
        <v>0</v>
      </c>
    </row>
    <row r="145" spans="15:15" x14ac:dyDescent="0.25">
      <c r="O145" s="0">
        <f t="shared" si="2"/>
        <v>0</v>
      </c>
    </row>
    <row r="146" spans="15:15" x14ac:dyDescent="0.25">
      <c r="O146" s="0">
        <f t="shared" si="2"/>
        <v>0</v>
      </c>
    </row>
    <row r="147" spans="15:15" x14ac:dyDescent="0.25">
      <c r="O147" s="0">
        <f t="shared" si="2"/>
        <v>0</v>
      </c>
    </row>
    <row r="148" spans="15:15" x14ac:dyDescent="0.25">
      <c r="O148" s="0">
        <f t="shared" si="2"/>
        <v>0</v>
      </c>
    </row>
    <row r="149" spans="15:15" x14ac:dyDescent="0.25">
      <c r="O149" s="0">
        <f t="shared" si="2"/>
        <v>0</v>
      </c>
    </row>
    <row r="150" spans="15:15" x14ac:dyDescent="0.25">
      <c r="O150" s="0">
        <f t="shared" si="2"/>
        <v>0</v>
      </c>
    </row>
    <row r="151" spans="15:15" x14ac:dyDescent="0.25">
      <c r="O151" s="0">
        <f t="shared" si="2"/>
        <v>0</v>
      </c>
    </row>
    <row r="152" spans="15:15" x14ac:dyDescent="0.25">
      <c r="O152" s="0">
        <f t="shared" si="2"/>
        <v>0</v>
      </c>
    </row>
    <row r="153" spans="15:15" x14ac:dyDescent="0.25">
      <c r="O153" s="0">
        <f t="shared" si="2"/>
        <v>0</v>
      </c>
    </row>
    <row r="154" spans="15:15" x14ac:dyDescent="0.25">
      <c r="O154" s="0">
        <f t="shared" si="2"/>
        <v>0</v>
      </c>
    </row>
    <row r="155" spans="15:15" x14ac:dyDescent="0.25">
      <c r="O155" s="0">
        <f t="shared" si="2"/>
        <v>0</v>
      </c>
    </row>
    <row r="156" spans="15:15" x14ac:dyDescent="0.25">
      <c r="O156" s="0">
        <f t="shared" si="2"/>
        <v>0</v>
      </c>
    </row>
    <row r="157" spans="15:15" x14ac:dyDescent="0.25">
      <c r="O157" s="0">
        <f t="shared" si="2"/>
        <v>0</v>
      </c>
    </row>
    <row r="158" spans="15:15" x14ac:dyDescent="0.25">
      <c r="O158" s="0">
        <f t="shared" si="2"/>
        <v>0</v>
      </c>
    </row>
    <row r="159" spans="15:15" x14ac:dyDescent="0.25">
      <c r="O159" s="0">
        <f t="shared" si="2"/>
        <v>0</v>
      </c>
    </row>
    <row r="160" spans="15:15" x14ac:dyDescent="0.25">
      <c r="O160" s="0">
        <f t="shared" si="2"/>
        <v>0</v>
      </c>
    </row>
    <row r="161" spans="15:15" x14ac:dyDescent="0.25">
      <c r="O161" s="0">
        <f t="shared" si="2"/>
        <v>0</v>
      </c>
    </row>
    <row r="162" spans="15:15" x14ac:dyDescent="0.25">
      <c r="O162" s="0">
        <f t="shared" si="2"/>
        <v>0</v>
      </c>
    </row>
    <row r="163" spans="15:15" x14ac:dyDescent="0.25">
      <c r="O163" s="0">
        <f t="shared" si="2"/>
        <v>0</v>
      </c>
    </row>
    <row r="164" spans="15:15" x14ac:dyDescent="0.25">
      <c r="O164" s="0">
        <f t="shared" si="2"/>
        <v>0</v>
      </c>
    </row>
    <row r="165" spans="15:15" x14ac:dyDescent="0.25">
      <c r="O165" s="0">
        <f t="shared" si="2"/>
        <v>0</v>
      </c>
    </row>
    <row r="166" spans="15:15" x14ac:dyDescent="0.25">
      <c r="O166" s="0">
        <f t="shared" si="2"/>
        <v>0</v>
      </c>
    </row>
    <row r="167" spans="15:15" x14ac:dyDescent="0.25">
      <c r="O167" s="0">
        <f t="shared" si="2"/>
        <v>0</v>
      </c>
    </row>
    <row r="168" spans="15:15" x14ac:dyDescent="0.25">
      <c r="O168" s="0">
        <f t="shared" si="2"/>
        <v>0</v>
      </c>
    </row>
    <row r="169" spans="15:15" x14ac:dyDescent="0.25">
      <c r="O169" s="0">
        <f t="shared" si="2"/>
        <v>0</v>
      </c>
    </row>
    <row r="170" spans="15:15" x14ac:dyDescent="0.25">
      <c r="O170" s="0">
        <f t="shared" si="2"/>
        <v>0</v>
      </c>
    </row>
    <row r="171" spans="15:15" x14ac:dyDescent="0.25">
      <c r="O171" s="0">
        <f t="shared" si="2"/>
        <v>0</v>
      </c>
    </row>
    <row r="172" spans="15:15" x14ac:dyDescent="0.25">
      <c r="O172" s="0">
        <f t="shared" si="2"/>
        <v>0</v>
      </c>
    </row>
    <row r="173" spans="15:15" x14ac:dyDescent="0.25">
      <c r="O173" s="0">
        <f t="shared" si="2"/>
        <v>0</v>
      </c>
    </row>
    <row r="174" spans="15:15" x14ac:dyDescent="0.25">
      <c r="O174" s="0">
        <f t="shared" si="2"/>
        <v>0</v>
      </c>
    </row>
    <row r="175" spans="15:15" x14ac:dyDescent="0.25">
      <c r="O175" s="0">
        <f t="shared" si="2"/>
        <v>0</v>
      </c>
    </row>
    <row r="176" spans="15:15" x14ac:dyDescent="0.25">
      <c r="O176" s="0">
        <f t="shared" si="2"/>
        <v>0</v>
      </c>
    </row>
    <row r="177" spans="15:15" x14ac:dyDescent="0.25">
      <c r="O177" s="0">
        <f t="shared" si="2"/>
        <v>0</v>
      </c>
    </row>
    <row r="178" spans="15:15" x14ac:dyDescent="0.25">
      <c r="O178" s="0">
        <f t="shared" si="2"/>
        <v>0</v>
      </c>
    </row>
  </sheetData>
  <phoneticPr fontId="1" type="noConversion"/>
  <hyperlinks>
    <hyperlink ref="J2" r:id="rId1" xr:uid="{8CB6B3FA-9DC5-4F53-9020-BE183EA9C0A0}"/>
    <hyperlink ref="J3:J21" r:id="rId2" display="Correo@PlaceHolder.com1" xr:uid="{1739AA6D-C711-4496-BFFA-8A955EBC67AC}"/>
    <hyperlink ref="J22" r:id="rId3" display="Correo@PlaceHolder.com1" xr:uid="{8B300AB9-89C6-4076-B773-AC216AD012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C039-C785-446E-85D6-BC7AE2B472DC}">
  <dimension ref="A1:I26"/>
  <sheetViews>
    <sheetView workbookViewId="0">
      <selection activeCell="C27" sqref="C27"/>
    </sheetView>
  </sheetViews>
  <sheetFormatPr baseColWidth="10" defaultRowHeight="15" x14ac:dyDescent="0.25"/>
  <sheetData>
    <row r="1" spans="1:9" x14ac:dyDescent="0.25">
      <c r="A1" t="s" s="0">
        <v>45</v>
      </c>
      <c r="B1" t="s" s="0">
        <v>46</v>
      </c>
      <c r="C1" t="s" s="0">
        <v>47</v>
      </c>
      <c r="D1" t="s" s="0">
        <v>48</v>
      </c>
    </row>
    <row r="2" spans="1:9" x14ac:dyDescent="0.25">
      <c r="A2" s="0">
        <v>1</v>
      </c>
      <c r="B2" t="s" s="0">
        <v>49</v>
      </c>
      <c r="C2" t="s" s="0">
        <v>69</v>
      </c>
      <c r="D2" s="0">
        <v>1</v>
      </c>
    </row>
    <row r="3" spans="1:9" x14ac:dyDescent="0.25">
      <c r="A3" s="0">
        <v>2</v>
      </c>
      <c r="B3" t="s" s="0">
        <v>50</v>
      </c>
      <c r="C3" t="s" s="0">
        <v>70</v>
      </c>
      <c r="D3" s="0">
        <v>2</v>
      </c>
    </row>
    <row r="4" spans="1:9" x14ac:dyDescent="0.25">
      <c r="A4" s="0">
        <v>3</v>
      </c>
      <c r="B4" t="s" s="0">
        <v>51</v>
      </c>
      <c r="C4" t="s" s="0">
        <v>71</v>
      </c>
      <c r="D4" s="0">
        <v>1</v>
      </c>
    </row>
    <row r="5" spans="1:9" x14ac:dyDescent="0.25">
      <c r="A5" s="0">
        <v>4</v>
      </c>
      <c r="B5" t="s" s="0">
        <v>52</v>
      </c>
      <c r="C5" t="s" s="0">
        <v>72</v>
      </c>
      <c r="D5" s="0">
        <v>2</v>
      </c>
    </row>
    <row r="6" spans="1:9" x14ac:dyDescent="0.25">
      <c r="A6" s="0">
        <v>5</v>
      </c>
      <c r="B6" t="s" s="0">
        <v>53</v>
      </c>
      <c r="C6" t="s" s="0">
        <v>73</v>
      </c>
      <c r="D6" s="0">
        <v>1</v>
      </c>
    </row>
    <row r="7" spans="1:9" x14ac:dyDescent="0.25">
      <c r="A7" s="0">
        <v>6</v>
      </c>
      <c r="B7" t="s" s="0">
        <v>54</v>
      </c>
      <c r="C7" t="s" s="0">
        <v>74</v>
      </c>
      <c r="D7" s="0">
        <v>2</v>
      </c>
      <c r="I7" t="s" s="74">
        <v>149</v>
      </c>
    </row>
    <row r="8" spans="1:9" x14ac:dyDescent="0.25">
      <c r="A8" s="0">
        <v>7</v>
      </c>
      <c r="B8" t="s" s="0">
        <v>55</v>
      </c>
      <c r="C8" t="s" s="0">
        <v>75</v>
      </c>
      <c r="D8" s="0">
        <v>1</v>
      </c>
    </row>
    <row r="9" spans="1:9" x14ac:dyDescent="0.25">
      <c r="A9" s="0">
        <v>8</v>
      </c>
      <c r="B9" t="s" s="0">
        <v>56</v>
      </c>
      <c r="C9" t="s" s="0">
        <v>76</v>
      </c>
      <c r="D9" s="0">
        <v>2</v>
      </c>
    </row>
    <row r="10" spans="1:9" x14ac:dyDescent="0.25">
      <c r="A10" s="0">
        <v>9</v>
      </c>
      <c r="B10" t="s" s="0">
        <v>57</v>
      </c>
      <c r="C10" t="s" s="0">
        <v>77</v>
      </c>
      <c r="D10" s="0">
        <v>1</v>
      </c>
    </row>
    <row r="11" spans="1:9" x14ac:dyDescent="0.25">
      <c r="A11" s="0">
        <v>10</v>
      </c>
      <c r="B11" t="s" s="0">
        <v>58</v>
      </c>
      <c r="C11" t="s" s="0">
        <v>78</v>
      </c>
      <c r="D11" s="0">
        <v>2</v>
      </c>
    </row>
    <row r="12" spans="1:9" x14ac:dyDescent="0.25">
      <c r="A12" s="0">
        <v>11</v>
      </c>
      <c r="B12" t="s" s="0">
        <v>59</v>
      </c>
      <c r="C12" t="s" s="0">
        <v>79</v>
      </c>
      <c r="D12" s="0">
        <v>1</v>
      </c>
    </row>
    <row r="13" spans="1:9" x14ac:dyDescent="0.25">
      <c r="A13" t="s" s="0">
        <v>146</v>
      </c>
      <c r="B13" t="s" s="0">
        <v>60</v>
      </c>
      <c r="C13" t="s" s="0">
        <v>80</v>
      </c>
      <c r="D13" t="s" s="0">
        <v>109</v>
      </c>
    </row>
    <row r="14" spans="1:9" x14ac:dyDescent="0.25">
      <c r="A14" s="0">
        <v>13</v>
      </c>
      <c r="B14" t="s" s="0">
        <v>61</v>
      </c>
      <c r="C14" t="s" s="0">
        <v>81</v>
      </c>
      <c r="D14" s="0">
        <v>1</v>
      </c>
    </row>
    <row r="15" spans="1:9" x14ac:dyDescent="0.25">
      <c r="A15" t="s" s="0">
        <v>160</v>
      </c>
      <c r="B15" t="s" s="0">
        <v>62</v>
      </c>
      <c r="C15" t="s" s="0">
        <v>82</v>
      </c>
      <c r="D15" t="s" s="0">
        <v>149</v>
      </c>
    </row>
    <row r="16" spans="1:9" x14ac:dyDescent="0.25">
      <c r="A16" s="0">
        <v>15</v>
      </c>
      <c r="B16" t="s" s="0">
        <v>63</v>
      </c>
      <c r="C16" t="s" s="0">
        <v>83</v>
      </c>
      <c r="D16" s="0">
        <v>1</v>
      </c>
    </row>
    <row r="17" spans="1:4" x14ac:dyDescent="0.25">
      <c r="A17" s="0">
        <v>16</v>
      </c>
      <c r="B17" t="s" s="0">
        <v>64</v>
      </c>
      <c r="C17" t="s" s="0">
        <v>84</v>
      </c>
      <c r="D17" s="0">
        <v>2</v>
      </c>
    </row>
    <row r="18" spans="1:4" x14ac:dyDescent="0.25">
      <c r="A18" s="0">
        <v>17</v>
      </c>
      <c r="B18" t="s" s="0">
        <v>65</v>
      </c>
      <c r="C18" t="s" s="0">
        <v>85</v>
      </c>
      <c r="D18" s="0">
        <v>1</v>
      </c>
    </row>
    <row r="19" spans="1:4" x14ac:dyDescent="0.25">
      <c r="A19" s="0">
        <v>18</v>
      </c>
      <c r="B19" t="s" s="0">
        <v>66</v>
      </c>
      <c r="C19" t="s" s="0">
        <v>86</v>
      </c>
      <c r="D19" s="0">
        <v>2</v>
      </c>
    </row>
    <row r="20" spans="1:4" x14ac:dyDescent="0.25">
      <c r="A20" s="0">
        <v>19</v>
      </c>
      <c r="B20" t="s" s="0">
        <v>67</v>
      </c>
      <c r="C20" t="s" s="0">
        <v>87</v>
      </c>
      <c r="D20" s="0">
        <v>1</v>
      </c>
    </row>
    <row r="21" spans="1:4" x14ac:dyDescent="0.25">
      <c r="A21" s="0">
        <v>20</v>
      </c>
      <c r="B21" t="s" s="0">
        <v>68</v>
      </c>
      <c r="C21" t="s" s="0">
        <v>88</v>
      </c>
      <c r="D21" s="0">
        <v>2</v>
      </c>
    </row>
    <row r="22" spans="1:4" x14ac:dyDescent="0.25">
      <c r="A22" t="s" s="0">
        <v>127</v>
      </c>
      <c r="B22" t="s" s="0">
        <v>132</v>
      </c>
      <c r="C22" t="s" s="0">
        <v>130</v>
      </c>
      <c r="D22" s="0">
        <v>2</v>
      </c>
    </row>
    <row r="23" spans="1:4" x14ac:dyDescent="0.25">
      <c r="A23" t="s" s="0">
        <v>135</v>
      </c>
      <c r="B23" t="s" s="0">
        <v>144</v>
      </c>
      <c r="C23" t="s" s="0">
        <v>145</v>
      </c>
      <c r="D23" s="0">
        <v>2</v>
      </c>
    </row>
    <row r="24" spans="1:4" x14ac:dyDescent="0.25">
      <c r="A24" t="s" s="0">
        <v>151</v>
      </c>
      <c r="B24" t="s" s="0">
        <v>158</v>
      </c>
      <c r="C24" t="s" s="0">
        <v>159</v>
      </c>
      <c r="D24" t="s" s="0">
        <v>149</v>
      </c>
    </row>
    <row r="25">
      <c r="A25" t="s" s="51">
        <v>163</v>
      </c>
      <c r="B25" t="s" s="49">
        <v>173</v>
      </c>
      <c r="C25" t="s" s="50">
        <v>174</v>
      </c>
      <c r="D25" t="s" s="48">
        <v>149</v>
      </c>
    </row>
    <row r="26">
      <c r="A26" t="s" s="69">
        <v>175</v>
      </c>
      <c r="B26" t="s" s="67">
        <v>181</v>
      </c>
      <c r="C26" t="s" s="68">
        <v>182</v>
      </c>
      <c r="D26" t="s" s="66">
        <v>149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43C0-7039-4C43-920F-57BF53E7540B}">
  <dimension ref="A1:B5"/>
  <sheetViews>
    <sheetView tabSelected="1" workbookViewId="0">
      <selection activeCell="B5" sqref="B2:B5"/>
    </sheetView>
  </sheetViews>
  <sheetFormatPr baseColWidth="10" defaultRowHeight="15" x14ac:dyDescent="0.25"/>
  <cols>
    <col min="1" max="1" bestFit="true" customWidth="true" width="16.42578125"/>
    <col min="2" max="2" bestFit="true" customWidth="true" width="21.42578125"/>
  </cols>
  <sheetData>
    <row r="1" spans="1:2" x14ac:dyDescent="0.25">
      <c r="A1" t="s" s="0">
        <v>5</v>
      </c>
      <c r="B1" t="s" s="0">
        <v>40</v>
      </c>
    </row>
    <row r="2" spans="1:2" x14ac:dyDescent="0.25">
      <c r="A2" s="0">
        <v>1</v>
      </c>
      <c r="B2" t="s" s="0">
        <v>41</v>
      </c>
    </row>
    <row r="3" spans="1:2" x14ac:dyDescent="0.25">
      <c r="A3" s="0">
        <v>2</v>
      </c>
      <c r="B3" t="s" s="0">
        <v>42</v>
      </c>
    </row>
    <row r="4" spans="1:2" x14ac:dyDescent="0.25">
      <c r="A4" s="0">
        <v>3</v>
      </c>
      <c r="B4" t="s" s="0">
        <v>43</v>
      </c>
    </row>
    <row r="5" spans="1:2" x14ac:dyDescent="0.25">
      <c r="A5" s="0">
        <v>4</v>
      </c>
      <c r="B5" t="s" s="0">
        <v>44</v>
      </c>
    </row>
  </sheetData>
  <pageMargins left="0.7" right="0.7" top="0.75" bottom="0.75" header="0.3" footer="0.3"/>
  <pageSetup paperSize="9" orientation="landscape" horizontalDpi="0" verticalDpi="0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B7EB-4B57-4CB8-9EFF-E4C8B046518D}">
  <dimension ref="A1:L41"/>
  <sheetViews>
    <sheetView workbookViewId="0">
      <selection activeCell="H3" sqref="H3"/>
    </sheetView>
  </sheetViews>
  <sheetFormatPr baseColWidth="10" defaultRowHeight="15" x14ac:dyDescent="0.25"/>
  <cols>
    <col min="1" max="1" bestFit="true" customWidth="true" width="12.85546875"/>
    <col min="2" max="2" bestFit="true" customWidth="true" width="13.0"/>
    <col min="3" max="3" bestFit="true" customWidth="true" width="16.42578125"/>
    <col min="4" max="4" bestFit="true" customWidth="true" width="15.42578125"/>
    <col min="5" max="5" bestFit="true" customWidth="true" width="14.42578125"/>
    <col min="6" max="6" customWidth="true" width="13.5703125"/>
    <col min="8" max="8" bestFit="true" customWidth="true" width="15.42578125"/>
    <col min="9" max="9" bestFit="true" customWidth="true" width="17.7109375"/>
    <col min="12" max="12" bestFit="true" customWidth="true" width="16.42578125"/>
  </cols>
  <sheetData>
    <row r="1" spans="1:12" x14ac:dyDescent="0.25">
      <c r="A1" t="s" s="0">
        <v>111</v>
      </c>
      <c r="B1" t="s" s="0">
        <v>112</v>
      </c>
      <c r="C1" t="s" s="0">
        <v>114</v>
      </c>
      <c r="D1" t="s" s="0">
        <v>119</v>
      </c>
      <c r="E1" t="s" s="0">
        <v>120</v>
      </c>
      <c r="F1" t="s" s="0">
        <v>121</v>
      </c>
      <c r="H1" t="s" s="0">
        <v>123</v>
      </c>
    </row>
    <row r="2" spans="1:12" x14ac:dyDescent="0.25">
      <c r="A2" s="0">
        <v>1</v>
      </c>
      <c r="B2" s="0">
        <v>1</v>
      </c>
      <c r="C2" s="5">
        <v>45658</v>
      </c>
      <c r="D2" s="5" t="s">
        <v>125</v>
      </c>
      <c r="E2" s="1" t="s">
        <v>122</v>
      </c>
      <c r="F2" s="0">
        <v>1</v>
      </c>
      <c r="G2" s="6">
        <f>IF(F2=2,E2-D2,0)</f>
        <v>0</v>
      </c>
      <c r="H2" s="0">
        <f>G2*24</f>
        <v>0</v>
      </c>
    </row>
    <row r="3" spans="1:12" x14ac:dyDescent="0.25">
      <c r="A3" s="0">
        <v>2</v>
      </c>
      <c r="B3" s="0">
        <v>2</v>
      </c>
      <c r="C3" s="5">
        <v>45658</v>
      </c>
      <c r="D3" s="7">
        <v>45658.791666666664</v>
      </c>
      <c r="E3" s="7">
        <v>45659.291666666664</v>
      </c>
      <c r="F3" s="0">
        <v>2</v>
      </c>
      <c r="G3" s="6">
        <f>IF(F3=2,E3-D3,0)</f>
        <v>0.5</v>
      </c>
      <c r="H3" s="8">
        <f t="shared" ref="H3" si="0">G3*24</f>
        <v>12</v>
      </c>
    </row>
    <row r="4" spans="1:12" x14ac:dyDescent="0.25">
      <c r="C4" s="5"/>
      <c r="D4" s="7"/>
      <c r="E4" s="1"/>
      <c r="G4" s="6"/>
    </row>
    <row r="5" spans="1:12" x14ac:dyDescent="0.25">
      <c r="C5" s="5"/>
      <c r="D5" s="7"/>
      <c r="E5" s="7"/>
      <c r="G5" s="6"/>
    </row>
    <row r="6" spans="1:12" x14ac:dyDescent="0.25">
      <c r="C6" s="5"/>
      <c r="D6" s="7"/>
      <c r="E6" s="1"/>
      <c r="G6" s="6"/>
    </row>
    <row r="7" spans="1:12" x14ac:dyDescent="0.25">
      <c r="C7" s="5"/>
      <c r="D7" s="7"/>
      <c r="E7" s="7"/>
      <c r="G7" s="6"/>
    </row>
    <row r="8" spans="1:12" x14ac:dyDescent="0.25">
      <c r="C8" s="5"/>
      <c r="D8" s="7"/>
      <c r="E8" s="1"/>
      <c r="G8" s="6"/>
    </row>
    <row r="9" spans="1:12" x14ac:dyDescent="0.25">
      <c r="C9" s="5"/>
      <c r="D9" s="7"/>
      <c r="E9" s="7"/>
      <c r="G9" s="6"/>
    </row>
    <row r="10" spans="1:12" x14ac:dyDescent="0.25">
      <c r="C10" s="5"/>
      <c r="D10" s="7"/>
      <c r="E10" s="1"/>
      <c r="G10" s="6"/>
    </row>
    <row r="11" spans="1:12" x14ac:dyDescent="0.25">
      <c r="C11" s="5"/>
      <c r="D11" s="7"/>
      <c r="E11" s="7"/>
      <c r="G11" s="6"/>
      <c r="L11" s="3" t="s">
        <v>113</v>
      </c>
    </row>
    <row r="12" spans="1:12" x14ac:dyDescent="0.25">
      <c r="C12" s="5"/>
      <c r="D12" s="7"/>
      <c r="E12" s="1"/>
      <c r="G12" s="6"/>
      <c r="L12" s="3" t="s">
        <v>0</v>
      </c>
    </row>
    <row r="13" spans="1:12" x14ac:dyDescent="0.25">
      <c r="C13" s="5"/>
      <c r="D13" s="7"/>
      <c r="E13" s="7"/>
      <c r="G13" s="6"/>
      <c r="L13" s="3" t="s">
        <v>114</v>
      </c>
    </row>
    <row r="14" spans="1:12" x14ac:dyDescent="0.25">
      <c r="C14" s="5"/>
      <c r="D14" s="7"/>
      <c r="E14" s="1"/>
      <c r="G14" s="6"/>
      <c r="L14" s="3" t="s">
        <v>115</v>
      </c>
    </row>
    <row r="15" spans="1:12" x14ac:dyDescent="0.25">
      <c r="C15" s="5"/>
      <c r="D15" s="7"/>
      <c r="E15" s="7"/>
      <c r="G15" s="6"/>
      <c r="L15" s="3" t="s">
        <v>116</v>
      </c>
    </row>
    <row r="16" spans="1:12" x14ac:dyDescent="0.25">
      <c r="C16" s="5"/>
      <c r="D16" s="7"/>
      <c r="E16" s="1"/>
      <c r="G16" s="6"/>
      <c r="L16" s="4" t="s">
        <v>117</v>
      </c>
    </row>
    <row r="17" spans="3:12" x14ac:dyDescent="0.25">
      <c r="C17" s="5"/>
      <c r="D17" s="7"/>
      <c r="E17" s="7"/>
      <c r="G17" s="6"/>
      <c r="L17" s="3" t="s">
        <v>118</v>
      </c>
    </row>
    <row r="18" spans="3:12" x14ac:dyDescent="0.25">
      <c r="C18" s="5"/>
      <c r="D18" s="7"/>
      <c r="E18" s="1"/>
      <c r="G18" s="6"/>
    </row>
    <row r="19" spans="3:12" x14ac:dyDescent="0.25">
      <c r="C19" s="5"/>
      <c r="D19" s="7"/>
      <c r="E19" s="7"/>
      <c r="G19" s="6"/>
    </row>
    <row r="20" spans="3:12" x14ac:dyDescent="0.25">
      <c r="C20" s="5"/>
      <c r="D20" s="7"/>
      <c r="E20" s="1"/>
      <c r="G20" s="6"/>
    </row>
    <row r="21" spans="3:12" x14ac:dyDescent="0.25">
      <c r="C21" s="5"/>
      <c r="D21" s="7"/>
      <c r="E21" s="7"/>
      <c r="G21" s="6"/>
    </row>
    <row r="22" spans="3:12" x14ac:dyDescent="0.25">
      <c r="C22" s="5"/>
      <c r="D22" s="7"/>
      <c r="E22" s="1"/>
      <c r="G22" s="6"/>
    </row>
    <row r="23" spans="3:12" x14ac:dyDescent="0.25">
      <c r="C23" s="5"/>
      <c r="D23" s="7"/>
      <c r="E23" s="7"/>
      <c r="G23" s="6"/>
    </row>
    <row r="24" spans="3:12" x14ac:dyDescent="0.25">
      <c r="C24" s="5"/>
      <c r="D24" s="7"/>
      <c r="E24" s="1"/>
      <c r="G24" s="6"/>
    </row>
    <row r="25" spans="3:12" x14ac:dyDescent="0.25">
      <c r="C25" s="5"/>
      <c r="D25" s="7"/>
      <c r="E25" s="7"/>
      <c r="G25" s="6"/>
    </row>
    <row r="26" spans="3:12" x14ac:dyDescent="0.25">
      <c r="C26" s="5"/>
      <c r="D26" s="7"/>
      <c r="E26" s="1"/>
      <c r="G26" s="6"/>
    </row>
    <row r="27" spans="3:12" x14ac:dyDescent="0.25">
      <c r="C27" s="5"/>
      <c r="D27" s="7"/>
      <c r="E27" s="7"/>
      <c r="G27" s="6"/>
    </row>
    <row r="28" spans="3:12" x14ac:dyDescent="0.25">
      <c r="C28" s="5"/>
      <c r="D28" s="7"/>
      <c r="E28" s="1"/>
      <c r="G28" s="6"/>
    </row>
    <row r="29" spans="3:12" x14ac:dyDescent="0.25">
      <c r="C29" s="5"/>
      <c r="D29" s="7"/>
      <c r="E29" s="7"/>
      <c r="G29" s="6"/>
    </row>
    <row r="30" spans="3:12" x14ac:dyDescent="0.25">
      <c r="C30" s="5"/>
      <c r="D30" s="7"/>
      <c r="E30" s="1"/>
      <c r="G30" s="6"/>
    </row>
    <row r="31" spans="3:12" x14ac:dyDescent="0.25">
      <c r="C31" s="5"/>
      <c r="D31" s="7"/>
      <c r="E31" s="7"/>
      <c r="G31" s="6"/>
    </row>
    <row r="32" spans="3:12" x14ac:dyDescent="0.25">
      <c r="C32" s="5"/>
      <c r="D32" s="7"/>
      <c r="E32" s="1"/>
      <c r="G32" s="6"/>
    </row>
    <row r="33" spans="3:7" x14ac:dyDescent="0.25">
      <c r="C33" s="5"/>
      <c r="D33" s="7"/>
      <c r="E33" s="7"/>
      <c r="G33" s="6"/>
    </row>
    <row r="34" spans="3:7" x14ac:dyDescent="0.25">
      <c r="C34" s="5"/>
      <c r="D34" s="7"/>
      <c r="E34" s="1"/>
      <c r="G34" s="6"/>
    </row>
    <row r="35" spans="3:7" x14ac:dyDescent="0.25">
      <c r="C35" s="5"/>
      <c r="D35" s="7"/>
      <c r="E35" s="7"/>
      <c r="G35" s="6"/>
    </row>
    <row r="36" spans="3:7" x14ac:dyDescent="0.25">
      <c r="C36" s="5"/>
      <c r="D36" s="7"/>
      <c r="E36" s="1"/>
      <c r="G36" s="6"/>
    </row>
    <row r="37" spans="3:7" x14ac:dyDescent="0.25">
      <c r="C37" s="5"/>
      <c r="D37" s="7"/>
      <c r="E37" s="7"/>
      <c r="G37" s="6"/>
    </row>
    <row r="38" spans="3:7" x14ac:dyDescent="0.25">
      <c r="C38" s="5"/>
      <c r="D38" s="7"/>
      <c r="E38" s="1"/>
      <c r="G38" s="6"/>
    </row>
    <row r="39" spans="3:7" x14ac:dyDescent="0.25">
      <c r="C39" s="5"/>
      <c r="D39" s="7"/>
      <c r="E39" s="7"/>
      <c r="G39" s="6"/>
    </row>
    <row r="40" spans="3:7" x14ac:dyDescent="0.25">
      <c r="C40" s="5"/>
      <c r="D40" s="7"/>
      <c r="E40" s="1"/>
      <c r="G40" s="6"/>
    </row>
    <row r="41" spans="3:7" x14ac:dyDescent="0.25">
      <c r="C41" s="5"/>
      <c r="D41" s="7"/>
      <c r="E41" s="7"/>
      <c r="G4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Empleados</vt:lpstr>
      <vt:lpstr>Usuarios</vt:lpstr>
      <vt:lpstr>Departamentos</vt:lpstr>
      <vt:lpstr>Asistencias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2026-06-26T17:53:42Z</dcterms:created>
  <dc:creator>Sárel González</dc:creator>
  <cp:lastModifiedBy>Sárel González</cp:lastModifiedBy>
  <dcterms:modified xsi:type="dcterms:W3CDTF">2026-06-26T21:12:55Z</dcterms:modified>
</cp:coreProperties>
</file>